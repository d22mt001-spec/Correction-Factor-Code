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Shared_Kishan\Kishan Research\Project\Med-Mn-ML\thermodynamic descriptors MODELS\files to be uploaded on GitHUB_\"/>
    </mc:Choice>
  </mc:AlternateContent>
  <xr:revisionPtr revIDLastSave="0" documentId="13_ncr:1_{CCB164A5-6164-4527-8A98-C20DCE3DB4E4}" xr6:coauthVersionLast="47" xr6:coauthVersionMax="47" xr10:uidLastSave="{00000000-0000-0000-0000-000000000000}"/>
  <bookViews>
    <workbookView xWindow="-120" yWindow="-120" windowWidth="29040" windowHeight="15720" xr2:uid="{7E0D9711-BD86-4DAA-8A74-8AD97112677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10" i="1"/>
  <c r="C11" i="1"/>
  <c r="C12" i="1"/>
  <c r="C13" i="1"/>
  <c r="C14" i="1"/>
  <c r="C3" i="1"/>
  <c r="C4" i="1"/>
  <c r="C5" i="1"/>
  <c r="C6" i="1"/>
  <c r="C2" i="1"/>
  <c r="I12" i="1"/>
  <c r="I13" i="1"/>
  <c r="I14" i="1"/>
  <c r="I11" i="1"/>
  <c r="G12" i="1"/>
  <c r="G13" i="1"/>
  <c r="G14" i="1"/>
  <c r="G11" i="1"/>
  <c r="I8" i="1"/>
  <c r="I9" i="1"/>
  <c r="I10" i="1"/>
  <c r="I7" i="1"/>
  <c r="G8" i="1"/>
  <c r="G9" i="1"/>
  <c r="G10" i="1"/>
  <c r="G7" i="1"/>
  <c r="I3" i="1"/>
  <c r="I4" i="1"/>
  <c r="I5" i="1"/>
  <c r="I6" i="1"/>
  <c r="I2" i="1"/>
  <c r="G3" i="1"/>
  <c r="G4" i="1"/>
  <c r="G5" i="1"/>
  <c r="G6" i="1"/>
  <c r="G2" i="1"/>
</calcChain>
</file>

<file path=xl/sharedStrings.xml><?xml version="1.0" encoding="utf-8"?>
<sst xmlns="http://schemas.openxmlformats.org/spreadsheetml/2006/main" count="12" uniqueCount="12">
  <si>
    <t>Ms Temperature (K)</t>
  </si>
  <si>
    <t>KM_Equation</t>
  </si>
  <si>
    <t>Fraction_KM</t>
  </si>
  <si>
    <t>My_Equation</t>
  </si>
  <si>
    <t>Fraction</t>
  </si>
  <si>
    <t>Sample</t>
  </si>
  <si>
    <t>Annealing_Temperature [°C]</t>
  </si>
  <si>
    <t>Eq_FCC</t>
  </si>
  <si>
    <t>Annealing_Temperature [K]</t>
  </si>
  <si>
    <t>0Ni</t>
  </si>
  <si>
    <t>4Ni</t>
  </si>
  <si>
    <t>7Ni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</si>
</sst>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 applyAlignment="1">
      <alignment horizontal="center"/>
    </xf>
    <xf numFmtId="0" fontId="2" fillId="0" borderId="7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 vertical="top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2" fontId="3" fillId="0" borderId="0" xfId="0" applyNumberFormat="1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D422-7541-4B4B-BFE6-47E7CF1AFCEB}">
  <dimension ref="A1:J14"/>
  <sheetViews>
    <sheetView tabSelected="1" workbookViewId="0">
      <selection activeCell="B24" sqref="B24"/>
    </sheetView>
  </sheetViews>
  <sheetFormatPr defaultRowHeight="15" x14ac:dyDescent="0.25"/>
  <cols>
    <col min="1" max="1" width="7.7109375" style="1" bestFit="1" customWidth="1"/>
    <col min="2" max="2" width="29.140625" style="1" bestFit="1" customWidth="1"/>
    <col min="3" max="3" width="29.140625" style="1" customWidth="1"/>
    <col min="4" max="4" width="9.140625" style="1" bestFit="1" customWidth="1"/>
    <col min="5" max="5" width="21.42578125" style="1" bestFit="1" customWidth="1"/>
    <col min="6" max="6" width="14.42578125" style="1" bestFit="1" customWidth="1"/>
    <col min="7" max="7" width="13.85546875" style="1" bestFit="1" customWidth="1"/>
    <col min="8" max="8" width="13.7109375" style="1" bestFit="1" customWidth="1"/>
    <col min="9" max="9" width="8.7109375" style="1" bestFit="1" customWidth="1"/>
  </cols>
  <sheetData>
    <row r="1" spans="1:10" s="7" customFormat="1" ht="15.75" x14ac:dyDescent="0.25">
      <c r="A1" s="2" t="s">
        <v>5</v>
      </c>
      <c r="B1" s="3" t="s">
        <v>6</v>
      </c>
      <c r="C1" s="3" t="s">
        <v>8</v>
      </c>
      <c r="D1" s="3" t="s">
        <v>7</v>
      </c>
      <c r="E1" s="3" t="s">
        <v>0</v>
      </c>
      <c r="F1" s="4" t="s">
        <v>1</v>
      </c>
      <c r="G1" s="4" t="s">
        <v>2</v>
      </c>
      <c r="H1" s="4" t="s">
        <v>3</v>
      </c>
      <c r="I1" s="5" t="s">
        <v>4</v>
      </c>
      <c r="J1" s="6"/>
    </row>
    <row r="2" spans="1:10" x14ac:dyDescent="0.25">
      <c r="A2" s="16" t="s">
        <v>9</v>
      </c>
      <c r="B2" s="1">
        <v>590.00000000000011</v>
      </c>
      <c r="C2" s="1">
        <f>B2+273.15</f>
        <v>863.15000000000009</v>
      </c>
      <c r="D2" s="1">
        <v>0.35141852550488489</v>
      </c>
      <c r="E2" s="1">
        <v>162.34904158685322</v>
      </c>
      <c r="F2" s="8">
        <v>1</v>
      </c>
      <c r="G2" s="1">
        <f>D2*F2</f>
        <v>0.35141852550488489</v>
      </c>
      <c r="H2" s="8">
        <v>1</v>
      </c>
      <c r="I2" s="9">
        <f>D2*H2</f>
        <v>0.35141852550488489</v>
      </c>
    </row>
    <row r="3" spans="1:10" x14ac:dyDescent="0.25">
      <c r="A3" s="17"/>
      <c r="B3" s="1">
        <v>600.00000000000011</v>
      </c>
      <c r="C3" s="1">
        <f t="shared" ref="C3:C14" si="0">B3+273.15</f>
        <v>873.15000000000009</v>
      </c>
      <c r="D3" s="1">
        <v>0.3707379576462797</v>
      </c>
      <c r="E3" s="1">
        <v>194.57324287819165</v>
      </c>
      <c r="F3" s="8">
        <v>1</v>
      </c>
      <c r="G3" s="1">
        <f t="shared" ref="G3:G6" si="1">D3*F3</f>
        <v>0.3707379576462797</v>
      </c>
      <c r="H3" s="8">
        <v>1</v>
      </c>
      <c r="I3" s="9">
        <f t="shared" ref="I3:I6" si="2">D3*H3</f>
        <v>0.3707379576462797</v>
      </c>
    </row>
    <row r="4" spans="1:10" x14ac:dyDescent="0.25">
      <c r="A4" s="17"/>
      <c r="B4" s="1">
        <v>610.00000000000011</v>
      </c>
      <c r="C4" s="1">
        <f t="shared" si="0"/>
        <v>883.15000000000009</v>
      </c>
      <c r="D4" s="1">
        <v>0.39151985142428514</v>
      </c>
      <c r="E4" s="1">
        <v>225.6947721808377</v>
      </c>
      <c r="F4" s="8">
        <v>1</v>
      </c>
      <c r="G4" s="1">
        <f t="shared" si="1"/>
        <v>0.39151985142428514</v>
      </c>
      <c r="H4" s="8">
        <v>1</v>
      </c>
      <c r="I4" s="9">
        <f t="shared" si="2"/>
        <v>0.39151985142428514</v>
      </c>
    </row>
    <row r="5" spans="1:10" x14ac:dyDescent="0.25">
      <c r="A5" s="17"/>
      <c r="B5" s="1">
        <v>620.00000000000011</v>
      </c>
      <c r="C5" s="1">
        <f t="shared" si="0"/>
        <v>893.15000000000009</v>
      </c>
      <c r="D5" s="1">
        <v>0.41386212942539635</v>
      </c>
      <c r="E5" s="1">
        <v>255.69399000121336</v>
      </c>
      <c r="F5" s="8">
        <v>1</v>
      </c>
      <c r="G5" s="1">
        <f t="shared" si="1"/>
        <v>0.41386212942539635</v>
      </c>
      <c r="H5" s="8">
        <v>1</v>
      </c>
      <c r="I5" s="9">
        <f t="shared" si="2"/>
        <v>0.41386212942539635</v>
      </c>
    </row>
    <row r="6" spans="1:10" x14ac:dyDescent="0.25">
      <c r="A6" s="17"/>
      <c r="B6" s="1">
        <v>630.00000000000011</v>
      </c>
      <c r="C6" s="1">
        <f t="shared" si="0"/>
        <v>903.15000000000009</v>
      </c>
      <c r="D6" s="1">
        <v>0.43785688757739749</v>
      </c>
      <c r="E6" s="1">
        <v>284.54716444580259</v>
      </c>
      <c r="F6" s="8">
        <v>1</v>
      </c>
      <c r="G6" s="1">
        <f t="shared" si="1"/>
        <v>0.43785688757739749</v>
      </c>
      <c r="H6" s="8">
        <v>1</v>
      </c>
      <c r="I6" s="9">
        <f t="shared" si="2"/>
        <v>0.43785688757739749</v>
      </c>
    </row>
    <row r="7" spans="1:10" x14ac:dyDescent="0.25">
      <c r="A7" s="16" t="s">
        <v>10</v>
      </c>
      <c r="B7" s="10">
        <v>600.00000000000011</v>
      </c>
      <c r="C7" s="10">
        <f t="shared" si="0"/>
        <v>873.15000000000009</v>
      </c>
      <c r="D7" s="10">
        <v>0.51302625844623606</v>
      </c>
      <c r="E7" s="11">
        <v>193.48951943885783</v>
      </c>
      <c r="F7" s="11">
        <v>1</v>
      </c>
      <c r="G7" s="10">
        <f>F7*D7</f>
        <v>0.51302625844623606</v>
      </c>
      <c r="H7" s="11">
        <v>1</v>
      </c>
      <c r="I7" s="12">
        <f>H7*D7</f>
        <v>0.51302625844623606</v>
      </c>
    </row>
    <row r="8" spans="1:10" x14ac:dyDescent="0.25">
      <c r="A8" s="17"/>
      <c r="B8" s="1">
        <v>610.00000000000011</v>
      </c>
      <c r="C8" s="1">
        <f t="shared" si="0"/>
        <v>883.15000000000009</v>
      </c>
      <c r="D8" s="1">
        <v>0.54241001323598359</v>
      </c>
      <c r="E8" s="8">
        <v>222.3769276141312</v>
      </c>
      <c r="F8" s="8">
        <v>1</v>
      </c>
      <c r="G8" s="1">
        <f t="shared" ref="G8:G10" si="3">F8*D8</f>
        <v>0.54241001323598359</v>
      </c>
      <c r="H8" s="8">
        <v>1</v>
      </c>
      <c r="I8" s="9">
        <f t="shared" ref="I8:I10" si="4">H8*D8</f>
        <v>0.54241001323598359</v>
      </c>
    </row>
    <row r="9" spans="1:10" x14ac:dyDescent="0.25">
      <c r="A9" s="17"/>
      <c r="B9" s="1">
        <v>620.00000000000011</v>
      </c>
      <c r="C9" s="1">
        <f t="shared" si="0"/>
        <v>893.15000000000009</v>
      </c>
      <c r="D9" s="1">
        <v>0.57416738905278863</v>
      </c>
      <c r="E9" s="8">
        <v>250.14352622241634</v>
      </c>
      <c r="F9" s="8">
        <v>1</v>
      </c>
      <c r="G9" s="1">
        <f t="shared" si="3"/>
        <v>0.57416738905278863</v>
      </c>
      <c r="H9" s="8">
        <v>1</v>
      </c>
      <c r="I9" s="9">
        <f t="shared" si="4"/>
        <v>0.57416738905278863</v>
      </c>
    </row>
    <row r="10" spans="1:10" x14ac:dyDescent="0.25">
      <c r="A10" s="17"/>
      <c r="B10" s="1">
        <v>630.00000000000011</v>
      </c>
      <c r="C10" s="13">
        <f t="shared" si="0"/>
        <v>903.15000000000009</v>
      </c>
      <c r="D10" s="1">
        <v>0.60846168923033128</v>
      </c>
      <c r="E10" s="8">
        <v>276.7579176890759</v>
      </c>
      <c r="F10" s="8">
        <v>1</v>
      </c>
      <c r="G10" s="1">
        <f t="shared" si="3"/>
        <v>0.60846168923033128</v>
      </c>
      <c r="H10" s="8">
        <v>1</v>
      </c>
      <c r="I10" s="9">
        <f t="shared" si="4"/>
        <v>0.60846168923033128</v>
      </c>
    </row>
    <row r="11" spans="1:10" x14ac:dyDescent="0.25">
      <c r="A11" s="16" t="s">
        <v>11</v>
      </c>
      <c r="B11" s="10">
        <v>600.00000000000011</v>
      </c>
      <c r="C11" s="10">
        <f t="shared" si="0"/>
        <v>873.15000000000009</v>
      </c>
      <c r="D11" s="10">
        <v>0.61667342267155112</v>
      </c>
      <c r="E11" s="11">
        <v>216.40081182047638</v>
      </c>
      <c r="F11" s="11">
        <v>1</v>
      </c>
      <c r="G11" s="10">
        <f>D11*F11</f>
        <v>0.61667342267155112</v>
      </c>
      <c r="H11" s="11">
        <v>1</v>
      </c>
      <c r="I11" s="12">
        <f>H11*D11</f>
        <v>0.61667342267155112</v>
      </c>
    </row>
    <row r="12" spans="1:10" x14ac:dyDescent="0.25">
      <c r="A12" s="17"/>
      <c r="B12" s="1">
        <v>610.00000000000011</v>
      </c>
      <c r="C12" s="1">
        <f t="shared" si="0"/>
        <v>883.15000000000009</v>
      </c>
      <c r="D12" s="1">
        <v>0.65226948156222531</v>
      </c>
      <c r="E12" s="8">
        <v>243.95730667659595</v>
      </c>
      <c r="F12" s="8">
        <v>1</v>
      </c>
      <c r="G12" s="1">
        <f t="shared" ref="G12:G14" si="5">D12*F12</f>
        <v>0.65226948156222531</v>
      </c>
      <c r="H12" s="8">
        <v>1</v>
      </c>
      <c r="I12" s="9">
        <f t="shared" ref="I12:I14" si="6">H12*D12</f>
        <v>0.65226948156222531</v>
      </c>
    </row>
    <row r="13" spans="1:10" x14ac:dyDescent="0.25">
      <c r="A13" s="17"/>
      <c r="B13" s="1">
        <v>620.00000000000011</v>
      </c>
      <c r="C13" s="1">
        <f t="shared" si="0"/>
        <v>893.15000000000009</v>
      </c>
      <c r="D13" s="1">
        <v>0.69075789995629111</v>
      </c>
      <c r="E13" s="8">
        <v>270.40979564638235</v>
      </c>
      <c r="F13" s="8">
        <v>1</v>
      </c>
      <c r="G13" s="1">
        <f t="shared" si="5"/>
        <v>0.69075789995629111</v>
      </c>
      <c r="H13" s="8">
        <v>1</v>
      </c>
      <c r="I13" s="9">
        <f t="shared" si="6"/>
        <v>0.69075789995629111</v>
      </c>
    </row>
    <row r="14" spans="1:10" x14ac:dyDescent="0.25">
      <c r="A14" s="18"/>
      <c r="B14" s="13">
        <v>630.00000000000011</v>
      </c>
      <c r="C14" s="13">
        <f t="shared" si="0"/>
        <v>903.15000000000009</v>
      </c>
      <c r="D14" s="13">
        <v>0.73232886246051931</v>
      </c>
      <c r="E14" s="14">
        <v>295.72117774585433</v>
      </c>
      <c r="F14" s="14">
        <v>1</v>
      </c>
      <c r="G14" s="13">
        <f t="shared" si="5"/>
        <v>0.73232886246051931</v>
      </c>
      <c r="H14" s="14">
        <v>1</v>
      </c>
      <c r="I14" s="15">
        <f t="shared" si="6"/>
        <v>0.73232886246051931</v>
      </c>
    </row>
  </sheetData>
  <mergeCells count="3">
    <mergeCell ref="A11:A14"/>
    <mergeCell ref="A2:A6"/>
    <mergeCell ref="A7:A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its_me _kishan</dc:creator>
  <cp:lastModifiedBy>its_me _kishan</cp:lastModifiedBy>
  <dcterms:created xsi:type="dcterms:W3CDTF">2026-03-18T09:26:37Z</dcterms:created>
  <dcterms:modified xsi:type="dcterms:W3CDTF">2026-06-03T14:21:46Z</dcterms:modified>
</cp:coreProperties>
</file>