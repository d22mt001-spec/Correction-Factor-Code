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d_Kishan\Kishan Research\Project\Med-Mn-ML\thermodynamic descriptors MODELS\files to be uploaded on GitHUB_\"/>
    </mc:Choice>
  </mc:AlternateContent>
  <xr:revisionPtr revIDLastSave="0" documentId="13_ncr:1_{F278AF2F-FB3C-4AFD-A40F-46AA7616AA19}" xr6:coauthVersionLast="47" xr6:coauthVersionMax="47" xr10:uidLastSave="{00000000-0000-0000-0000-000000000000}"/>
  <bookViews>
    <workbookView xWindow="-120" yWindow="-120" windowWidth="29040" windowHeight="15720" xr2:uid="{AD12CFF2-0EE8-400C-99FB-A8C33FFF0B6C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L21" i="1"/>
  <c r="C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3" i="1"/>
  <c r="C24" i="1"/>
  <c r="C25" i="1"/>
  <c r="C26" i="1"/>
  <c r="C27" i="1"/>
  <c r="C28" i="1"/>
  <c r="C29" i="1"/>
  <c r="C30" i="1"/>
  <c r="C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30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2" i="1"/>
</calcChain>
</file>

<file path=xl/sharedStrings.xml><?xml version="1.0" encoding="utf-8"?>
<sst xmlns="http://schemas.openxmlformats.org/spreadsheetml/2006/main" count="24" uniqueCount="24">
  <si>
    <t>https://doi.org/10.1007/s11661-011-0687-y</t>
  </si>
  <si>
    <t>https://doi.org/10.1016/j.msea.2016.11.048</t>
  </si>
  <si>
    <t>https://doi.org/10.1016/j.actamat.2015.06.024</t>
  </si>
  <si>
    <t>https://doi.org/10.1016/j.msea.2011.03.045</t>
  </si>
  <si>
    <t>https://doi.org/10.1016/j.matdes.2015.11.115</t>
  </si>
  <si>
    <t>https://doi.org/10.1016/j.msea.2015.07.043</t>
  </si>
  <si>
    <t>https://doi.org/10.1080/02670836.2018.1539646</t>
  </si>
  <si>
    <t>https://doi.org/10.1016/j.msea.2022.142757</t>
  </si>
  <si>
    <t>https://link.springer.com/article/10.1007/s11661-021-06144-5</t>
  </si>
  <si>
    <t>DOI</t>
  </si>
  <si>
    <t>Eq_FCC</t>
  </si>
  <si>
    <t xml:space="preserve"> Fe in FCC_A1</t>
  </si>
  <si>
    <t>Mn in FCC_A1</t>
  </si>
  <si>
    <t>C in FCC_A1</t>
  </si>
  <si>
    <t>Al in FCC_A1</t>
  </si>
  <si>
    <t>Si in FCC_A1</t>
  </si>
  <si>
    <t>Ni in FCC_A1</t>
  </si>
  <si>
    <t>Ms Temperature (°C)</t>
  </si>
  <si>
    <t>RA_EX_F</t>
  </si>
  <si>
    <t>Correction_Factor</t>
  </si>
  <si>
    <t>Annealing_Temperature [°C]</t>
  </si>
  <si>
    <t>Ms Temperature (K)</t>
  </si>
  <si>
    <t>Correction_Factor_MOD</t>
  </si>
  <si>
    <t>Annealing_Temperature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</si>
</sst>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2" fontId="6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11661-021-06144-5" TargetMode="External"/><Relationship Id="rId3" Type="http://schemas.openxmlformats.org/officeDocument/2006/relationships/hyperlink" Target="https://doi.org/10.1016/j.actamat.2015.06.024" TargetMode="External"/><Relationship Id="rId7" Type="http://schemas.openxmlformats.org/officeDocument/2006/relationships/hyperlink" Target="https://doi.org/10.1016/j.msea.2022.142757" TargetMode="External"/><Relationship Id="rId2" Type="http://schemas.openxmlformats.org/officeDocument/2006/relationships/hyperlink" Target="https://doi.org/10.1016/j.msea.2016.11.048" TargetMode="External"/><Relationship Id="rId1" Type="http://schemas.openxmlformats.org/officeDocument/2006/relationships/hyperlink" Target="https://doi.org/10.1007/s11661-011-0687-y" TargetMode="External"/><Relationship Id="rId6" Type="http://schemas.openxmlformats.org/officeDocument/2006/relationships/hyperlink" Target="https://doi.org/10.1016/j.msea.2015.07.043" TargetMode="External"/><Relationship Id="rId5" Type="http://schemas.openxmlformats.org/officeDocument/2006/relationships/hyperlink" Target="https://doi.org/10.1016/j.matdes.2015.11.115" TargetMode="External"/><Relationship Id="rId4" Type="http://schemas.openxmlformats.org/officeDocument/2006/relationships/hyperlink" Target="https://doi.org/10.1016/j.msea.2011.03.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9B44-56A4-4091-AEAD-23375D48E2AF}">
  <dimension ref="A1:O31"/>
  <sheetViews>
    <sheetView tabSelected="1" zoomScale="80" zoomScaleNormal="80" workbookViewId="0">
      <pane ySplit="1" topLeftCell="A2" activePane="bottomLeft" state="frozen"/>
      <selection pane="bottomLeft" activeCell="G34" sqref="G34"/>
    </sheetView>
  </sheetViews>
  <sheetFormatPr defaultRowHeight="15" x14ac:dyDescent="0.25"/>
  <cols>
    <col min="1" max="1" width="60.140625" style="4" bestFit="1" customWidth="1"/>
    <col min="2" max="2" width="29.140625" style="4" customWidth="1"/>
    <col min="3" max="3" width="35.28515625" style="4" bestFit="1" customWidth="1"/>
    <col min="4" max="4" width="9.140625" style="4" customWidth="1"/>
    <col min="5" max="5" width="15.28515625" style="4" customWidth="1"/>
    <col min="6" max="6" width="15.7109375" style="4" customWidth="1"/>
    <col min="7" max="7" width="13.85546875" style="4" customWidth="1"/>
    <col min="8" max="8" width="14.42578125" style="4" customWidth="1"/>
    <col min="9" max="9" width="14.140625" style="4" customWidth="1"/>
    <col min="10" max="10" width="14.5703125" style="4" customWidth="1"/>
    <col min="11" max="12" width="22.140625" style="4" customWidth="1"/>
    <col min="13" max="13" width="10.85546875" style="4" bestFit="1" customWidth="1"/>
    <col min="14" max="14" width="18.7109375" style="4" bestFit="1" customWidth="1"/>
    <col min="15" max="15" width="25.85546875" bestFit="1" customWidth="1"/>
  </cols>
  <sheetData>
    <row r="1" spans="1:15" s="2" customFormat="1" ht="15.75" x14ac:dyDescent="0.25">
      <c r="A1" s="5" t="s">
        <v>9</v>
      </c>
      <c r="B1" s="3" t="s">
        <v>20</v>
      </c>
      <c r="C1" s="3" t="s">
        <v>23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21</v>
      </c>
      <c r="M1" s="5" t="s">
        <v>18</v>
      </c>
      <c r="N1" s="5" t="s">
        <v>19</v>
      </c>
      <c r="O1" s="5" t="s">
        <v>22</v>
      </c>
    </row>
    <row r="2" spans="1:15" ht="15.75" x14ac:dyDescent="0.25">
      <c r="A2" s="8" t="s">
        <v>0</v>
      </c>
      <c r="B2" s="10">
        <v>575</v>
      </c>
      <c r="C2" s="10">
        <f>B2+273.15</f>
        <v>848.15</v>
      </c>
      <c r="D2" s="10">
        <v>0.35609999999999997</v>
      </c>
      <c r="E2" s="10">
        <v>84.84</v>
      </c>
      <c r="F2" s="10">
        <v>14.69</v>
      </c>
      <c r="G2" s="10">
        <v>0.27800000000000002</v>
      </c>
      <c r="H2" s="10">
        <v>7.1000000000000004E-3</v>
      </c>
      <c r="I2" s="10">
        <v>0.1734</v>
      </c>
      <c r="J2" s="10">
        <v>0</v>
      </c>
      <c r="K2" s="10">
        <v>-26.257499999999958</v>
      </c>
      <c r="L2" s="10">
        <f>K2+273.15</f>
        <v>246.89250000000001</v>
      </c>
      <c r="M2" s="10">
        <v>0.25</v>
      </c>
      <c r="N2" s="10">
        <f t="shared" ref="N2:N30" si="0">D2-M2</f>
        <v>0.10609999999999997</v>
      </c>
      <c r="O2" s="10">
        <v>0.10609999999999997</v>
      </c>
    </row>
    <row r="3" spans="1:15" ht="15.75" x14ac:dyDescent="0.25">
      <c r="A3" s="7" t="s">
        <v>1</v>
      </c>
      <c r="B3" s="10">
        <v>650</v>
      </c>
      <c r="C3" s="10">
        <f t="shared" ref="C3:C30" si="1">B3+273.15</f>
        <v>923.15</v>
      </c>
      <c r="D3" s="10">
        <v>0.39479999999999998</v>
      </c>
      <c r="E3" s="10">
        <v>86.933000000000007</v>
      </c>
      <c r="F3" s="10">
        <v>11.44</v>
      </c>
      <c r="G3" s="10">
        <v>0.50600000000000001</v>
      </c>
      <c r="H3" s="10">
        <v>1.1100000000000001</v>
      </c>
      <c r="I3" s="10">
        <v>0</v>
      </c>
      <c r="J3" s="10">
        <v>0</v>
      </c>
      <c r="K3" s="10">
        <v>10.48600000000004</v>
      </c>
      <c r="L3" s="10">
        <f t="shared" ref="L3:L30" si="2">K3+273.15</f>
        <v>283.63600000000002</v>
      </c>
      <c r="M3" s="10">
        <v>0.252</v>
      </c>
      <c r="N3" s="10">
        <f t="shared" si="0"/>
        <v>0.14279999999999998</v>
      </c>
      <c r="O3" s="10">
        <v>0.14279999999999998</v>
      </c>
    </row>
    <row r="4" spans="1:15" ht="15.75" x14ac:dyDescent="0.25">
      <c r="A4" s="7"/>
      <c r="B4" s="10">
        <v>650</v>
      </c>
      <c r="C4" s="10">
        <f t="shared" si="1"/>
        <v>923.15</v>
      </c>
      <c r="D4" s="10">
        <v>0.39479999999999998</v>
      </c>
      <c r="E4" s="10">
        <v>86.933000000000007</v>
      </c>
      <c r="F4" s="10">
        <v>11.44</v>
      </c>
      <c r="G4" s="10">
        <v>0.50600000000000001</v>
      </c>
      <c r="H4" s="10">
        <v>1.1100000000000001</v>
      </c>
      <c r="I4" s="10">
        <v>0</v>
      </c>
      <c r="J4" s="10">
        <v>0</v>
      </c>
      <c r="K4" s="10">
        <v>10.48600000000004</v>
      </c>
      <c r="L4" s="10">
        <f t="shared" si="2"/>
        <v>283.63600000000002</v>
      </c>
      <c r="M4" s="10">
        <v>0.28000000000000003</v>
      </c>
      <c r="N4" s="10">
        <f t="shared" si="0"/>
        <v>0.11479999999999996</v>
      </c>
      <c r="O4" s="10">
        <v>0.11479999999999996</v>
      </c>
    </row>
    <row r="5" spans="1:15" ht="15.75" x14ac:dyDescent="0.25">
      <c r="A5" s="7"/>
      <c r="B5" s="10">
        <v>650</v>
      </c>
      <c r="C5" s="10">
        <f t="shared" si="1"/>
        <v>923.15</v>
      </c>
      <c r="D5" s="10">
        <v>0.39479999999999998</v>
      </c>
      <c r="E5" s="10">
        <v>86.933000000000007</v>
      </c>
      <c r="F5" s="10">
        <v>11.44</v>
      </c>
      <c r="G5" s="10">
        <v>0.50600000000000001</v>
      </c>
      <c r="H5" s="10">
        <v>1.1100000000000001</v>
      </c>
      <c r="I5" s="10">
        <v>0</v>
      </c>
      <c r="J5" s="10">
        <v>0</v>
      </c>
      <c r="K5" s="10">
        <v>10.48600000000004</v>
      </c>
      <c r="L5" s="10">
        <f t="shared" si="2"/>
        <v>283.63600000000002</v>
      </c>
      <c r="M5" s="10">
        <v>0.28999999999999998</v>
      </c>
      <c r="N5" s="10">
        <f t="shared" si="0"/>
        <v>0.1048</v>
      </c>
      <c r="O5" s="10">
        <v>0.1048</v>
      </c>
    </row>
    <row r="6" spans="1:15" ht="15.75" x14ac:dyDescent="0.25">
      <c r="A6" s="7"/>
      <c r="B6" s="10">
        <v>650</v>
      </c>
      <c r="C6" s="10">
        <f t="shared" si="1"/>
        <v>923.15</v>
      </c>
      <c r="D6" s="10">
        <v>0.39479999999999998</v>
      </c>
      <c r="E6" s="10">
        <v>86.933000000000007</v>
      </c>
      <c r="F6" s="10">
        <v>11.44</v>
      </c>
      <c r="G6" s="10">
        <v>0.50600000000000001</v>
      </c>
      <c r="H6" s="10">
        <v>1.1100000000000001</v>
      </c>
      <c r="I6" s="10">
        <v>0</v>
      </c>
      <c r="J6" s="10">
        <v>0</v>
      </c>
      <c r="K6" s="10">
        <v>10.48600000000004</v>
      </c>
      <c r="L6" s="10">
        <f t="shared" si="2"/>
        <v>283.63600000000002</v>
      </c>
      <c r="M6" s="10">
        <v>0.32</v>
      </c>
      <c r="N6" s="10">
        <f t="shared" si="0"/>
        <v>7.4799999999999978E-2</v>
      </c>
      <c r="O6" s="10">
        <v>7.4799999999999978E-2</v>
      </c>
    </row>
    <row r="7" spans="1:15" ht="15.75" x14ac:dyDescent="0.25">
      <c r="A7" s="7"/>
      <c r="B7" s="10">
        <v>650</v>
      </c>
      <c r="C7" s="10">
        <f t="shared" si="1"/>
        <v>923.15</v>
      </c>
      <c r="D7" s="10">
        <v>0.39479999999999998</v>
      </c>
      <c r="E7" s="10">
        <v>86.933000000000007</v>
      </c>
      <c r="F7" s="10">
        <v>11.44</v>
      </c>
      <c r="G7" s="10">
        <v>0.50600000000000001</v>
      </c>
      <c r="H7" s="10">
        <v>1.1100000000000001</v>
      </c>
      <c r="I7" s="10">
        <v>0</v>
      </c>
      <c r="J7" s="10">
        <v>0</v>
      </c>
      <c r="K7" s="10">
        <v>10.48600000000004</v>
      </c>
      <c r="L7" s="10">
        <f t="shared" si="2"/>
        <v>283.63600000000002</v>
      </c>
      <c r="M7" s="10">
        <v>0.34200000000000003</v>
      </c>
      <c r="N7" s="10">
        <f t="shared" si="0"/>
        <v>5.2799999999999958E-2</v>
      </c>
      <c r="O7" s="10">
        <v>5.2799999999999958E-2</v>
      </c>
    </row>
    <row r="8" spans="1:15" ht="15.75" x14ac:dyDescent="0.25">
      <c r="A8" s="9" t="s">
        <v>2</v>
      </c>
      <c r="B8" s="10">
        <v>640</v>
      </c>
      <c r="C8" s="10">
        <f t="shared" si="1"/>
        <v>913.15</v>
      </c>
      <c r="D8" s="10">
        <v>0.71779999999999999</v>
      </c>
      <c r="E8" s="10">
        <v>78.91</v>
      </c>
      <c r="F8" s="10">
        <v>14.99</v>
      </c>
      <c r="G8" s="10">
        <v>0.88800000000000001</v>
      </c>
      <c r="H8" s="10">
        <v>5.19</v>
      </c>
      <c r="I8" s="10">
        <v>0</v>
      </c>
      <c r="J8" s="10">
        <v>0</v>
      </c>
      <c r="K8" s="10">
        <v>-136.61999999999998</v>
      </c>
      <c r="L8" s="10">
        <f t="shared" si="2"/>
        <v>136.53</v>
      </c>
      <c r="M8" s="10">
        <v>0.67700000000000005</v>
      </c>
      <c r="N8" s="10">
        <f t="shared" si="0"/>
        <v>4.0799999999999947E-2</v>
      </c>
      <c r="O8" s="10">
        <v>4.0799999999999947E-2</v>
      </c>
    </row>
    <row r="9" spans="1:15" ht="15.75" x14ac:dyDescent="0.25">
      <c r="A9" s="6"/>
      <c r="B9" s="10">
        <v>670</v>
      </c>
      <c r="C9" s="10">
        <f t="shared" si="1"/>
        <v>943.15</v>
      </c>
      <c r="D9" s="10">
        <v>0.85977000000000003</v>
      </c>
      <c r="E9" s="10">
        <v>80.56</v>
      </c>
      <c r="F9" s="10">
        <v>13.23</v>
      </c>
      <c r="G9" s="10">
        <v>0.81599999999999995</v>
      </c>
      <c r="H9" s="10">
        <v>5.38</v>
      </c>
      <c r="I9" s="10">
        <v>0</v>
      </c>
      <c r="J9" s="10">
        <v>0</v>
      </c>
      <c r="K9" s="10">
        <v>-46.959999999999951</v>
      </c>
      <c r="L9" s="10">
        <f t="shared" si="2"/>
        <v>226.19000000000003</v>
      </c>
      <c r="M9" s="10">
        <v>0.73199999999999998</v>
      </c>
      <c r="N9" s="10">
        <f t="shared" si="0"/>
        <v>0.12777000000000005</v>
      </c>
      <c r="O9" s="10">
        <v>0.12777000000000005</v>
      </c>
    </row>
    <row r="10" spans="1:15" ht="15.75" x14ac:dyDescent="0.25">
      <c r="A10" s="7" t="s">
        <v>3</v>
      </c>
      <c r="B10" s="10">
        <v>800</v>
      </c>
      <c r="C10" s="10">
        <f t="shared" si="1"/>
        <v>1073.1500000000001</v>
      </c>
      <c r="D10" s="10">
        <v>0.83409999999999995</v>
      </c>
      <c r="E10" s="10">
        <v>69.53</v>
      </c>
      <c r="F10" s="10">
        <v>21.03</v>
      </c>
      <c r="G10" s="10">
        <v>0.71899999999999997</v>
      </c>
      <c r="H10" s="10">
        <v>8.6999999999999993</v>
      </c>
      <c r="I10" s="10">
        <v>0</v>
      </c>
      <c r="J10" s="10">
        <v>0</v>
      </c>
      <c r="K10" s="10">
        <v>-143.44900000000001</v>
      </c>
      <c r="L10" s="10">
        <f t="shared" si="2"/>
        <v>129.70099999999996</v>
      </c>
      <c r="M10" s="10">
        <v>0.65</v>
      </c>
      <c r="N10" s="10">
        <f t="shared" si="0"/>
        <v>0.18409999999999993</v>
      </c>
      <c r="O10" s="10">
        <v>0.18409999999999993</v>
      </c>
    </row>
    <row r="11" spans="1:15" ht="15.75" x14ac:dyDescent="0.25">
      <c r="A11" s="6"/>
      <c r="B11" s="10">
        <v>900</v>
      </c>
      <c r="C11" s="10">
        <f t="shared" si="1"/>
        <v>1173.1500000000001</v>
      </c>
      <c r="D11" s="10">
        <v>0.77193000000000001</v>
      </c>
      <c r="E11" s="10">
        <v>69.36</v>
      </c>
      <c r="F11" s="10">
        <v>21.28</v>
      </c>
      <c r="G11" s="10">
        <v>0.77600000000000002</v>
      </c>
      <c r="H11" s="10">
        <v>8.57</v>
      </c>
      <c r="I11" s="10">
        <v>0</v>
      </c>
      <c r="J11" s="10">
        <v>0</v>
      </c>
      <c r="K11" s="10">
        <v>-179.06</v>
      </c>
      <c r="L11" s="10">
        <f t="shared" si="2"/>
        <v>94.089999999999975</v>
      </c>
      <c r="M11" s="10">
        <v>0.65</v>
      </c>
      <c r="N11" s="10">
        <f t="shared" si="0"/>
        <v>0.12192999999999998</v>
      </c>
      <c r="O11" s="10">
        <v>0.12192999999999998</v>
      </c>
    </row>
    <row r="12" spans="1:15" ht="15.75" x14ac:dyDescent="0.25">
      <c r="A12" s="6"/>
      <c r="B12" s="10">
        <v>1000</v>
      </c>
      <c r="C12" s="10">
        <f t="shared" si="1"/>
        <v>1273.1500000000001</v>
      </c>
      <c r="D12" s="10">
        <v>0.70050000000000001</v>
      </c>
      <c r="E12" s="10">
        <v>69.177000000000007</v>
      </c>
      <c r="F12" s="10">
        <v>21.55</v>
      </c>
      <c r="G12" s="10">
        <v>0.85</v>
      </c>
      <c r="H12" s="10">
        <v>8.41</v>
      </c>
      <c r="I12" s="10">
        <v>0</v>
      </c>
      <c r="J12" s="10">
        <v>0</v>
      </c>
      <c r="K12" s="10">
        <v>-223.37</v>
      </c>
      <c r="L12" s="10">
        <f t="shared" si="2"/>
        <v>49.779999999999973</v>
      </c>
      <c r="M12" s="10">
        <v>0.6</v>
      </c>
      <c r="N12" s="10">
        <f t="shared" si="0"/>
        <v>0.10050000000000003</v>
      </c>
      <c r="O12" s="10">
        <v>0.10050000000000003</v>
      </c>
    </row>
    <row r="13" spans="1:15" ht="15.75" x14ac:dyDescent="0.25">
      <c r="A13" s="6"/>
      <c r="B13" s="10">
        <v>1100</v>
      </c>
      <c r="C13" s="10">
        <f t="shared" si="1"/>
        <v>1373.15</v>
      </c>
      <c r="D13" s="10">
        <v>0.62480000000000002</v>
      </c>
      <c r="E13" s="10">
        <v>69.010000000000005</v>
      </c>
      <c r="F13" s="10">
        <v>21.78</v>
      </c>
      <c r="G13" s="10">
        <v>0.93899999999999995</v>
      </c>
      <c r="H13" s="10">
        <v>8.25</v>
      </c>
      <c r="I13" s="10">
        <v>0</v>
      </c>
      <c r="J13" s="10">
        <v>0</v>
      </c>
      <c r="K13" s="10">
        <v>-272.80899999999997</v>
      </c>
      <c r="L13" s="10">
        <f t="shared" si="2"/>
        <v>0.34100000000000819</v>
      </c>
      <c r="M13" s="10">
        <v>0.53</v>
      </c>
      <c r="N13" s="10">
        <f t="shared" si="0"/>
        <v>9.4799999999999995E-2</v>
      </c>
      <c r="O13" s="10">
        <v>0.17480000000000001</v>
      </c>
    </row>
    <row r="14" spans="1:15" ht="15.75" x14ac:dyDescent="0.25">
      <c r="A14" s="9" t="s">
        <v>4</v>
      </c>
      <c r="B14" s="10">
        <v>800</v>
      </c>
      <c r="C14" s="10">
        <f t="shared" si="1"/>
        <v>1073.1500000000001</v>
      </c>
      <c r="D14" s="10">
        <v>0.1968</v>
      </c>
      <c r="E14" s="10">
        <v>76.430000000000007</v>
      </c>
      <c r="F14" s="10">
        <v>14.33</v>
      </c>
      <c r="G14" s="10">
        <v>0.79900000000000004</v>
      </c>
      <c r="H14" s="10">
        <v>8.4329999999999998</v>
      </c>
      <c r="I14" s="10">
        <v>1.1999999999999999E-3</v>
      </c>
      <c r="J14" s="10">
        <v>0</v>
      </c>
      <c r="K14" s="10">
        <v>18.371999999999986</v>
      </c>
      <c r="L14" s="10">
        <f t="shared" si="2"/>
        <v>291.52199999999993</v>
      </c>
      <c r="M14" s="10">
        <v>0.3</v>
      </c>
      <c r="N14" s="10">
        <f t="shared" si="0"/>
        <v>-0.10319999999999999</v>
      </c>
      <c r="O14" s="10">
        <v>0.1032</v>
      </c>
    </row>
    <row r="15" spans="1:15" ht="15.75" x14ac:dyDescent="0.25">
      <c r="A15" s="6"/>
      <c r="B15" s="10">
        <v>1100</v>
      </c>
      <c r="C15" s="10">
        <f t="shared" si="1"/>
        <v>1373.15</v>
      </c>
      <c r="D15" s="10">
        <v>0.60389999999999999</v>
      </c>
      <c r="E15" s="10">
        <v>78.48</v>
      </c>
      <c r="F15" s="10">
        <v>11.106</v>
      </c>
      <c r="G15" s="10">
        <v>1.1299999999999999</v>
      </c>
      <c r="H15" s="10">
        <v>9.27</v>
      </c>
      <c r="I15" s="10">
        <v>0</v>
      </c>
      <c r="J15" s="10">
        <v>0</v>
      </c>
      <c r="K15" s="10">
        <v>1.4876000000000431</v>
      </c>
      <c r="L15" s="10">
        <f t="shared" si="2"/>
        <v>274.63760000000002</v>
      </c>
      <c r="M15" s="10">
        <v>0.6</v>
      </c>
      <c r="N15" s="10">
        <f t="shared" si="0"/>
        <v>3.9000000000000146E-3</v>
      </c>
      <c r="O15" s="10">
        <v>3.9000000000000146E-3</v>
      </c>
    </row>
    <row r="16" spans="1:15" ht="15.75" x14ac:dyDescent="0.25">
      <c r="A16" s="6"/>
      <c r="B16" s="10">
        <v>1200</v>
      </c>
      <c r="C16" s="10">
        <f t="shared" si="1"/>
        <v>1473.15</v>
      </c>
      <c r="D16" s="10">
        <v>0.54280000000000006</v>
      </c>
      <c r="E16" s="10">
        <v>78.53</v>
      </c>
      <c r="F16" s="10">
        <v>11.14</v>
      </c>
      <c r="G16" s="10">
        <v>1.21</v>
      </c>
      <c r="H16" s="10">
        <v>9.1069999999999993</v>
      </c>
      <c r="I16" s="10">
        <v>0</v>
      </c>
      <c r="J16" s="10">
        <v>0</v>
      </c>
      <c r="K16" s="10">
        <v>-38.27600000000001</v>
      </c>
      <c r="L16" s="10">
        <f t="shared" si="2"/>
        <v>234.87399999999997</v>
      </c>
      <c r="M16" s="10">
        <v>0.57999999999999996</v>
      </c>
      <c r="N16" s="10">
        <f t="shared" si="0"/>
        <v>-3.71999999999999E-2</v>
      </c>
      <c r="O16" s="10">
        <v>3.71999999999999E-2</v>
      </c>
    </row>
    <row r="17" spans="1:15" ht="15.75" x14ac:dyDescent="0.25">
      <c r="A17" s="7" t="s">
        <v>5</v>
      </c>
      <c r="B17" s="10">
        <v>800</v>
      </c>
      <c r="C17" s="10">
        <f t="shared" si="1"/>
        <v>1073.1500000000001</v>
      </c>
      <c r="D17" s="10">
        <v>0.76180000000000003</v>
      </c>
      <c r="E17" s="10">
        <v>70.38</v>
      </c>
      <c r="F17" s="10">
        <v>19.579999999999998</v>
      </c>
      <c r="G17" s="10">
        <v>0.85399999999999998</v>
      </c>
      <c r="H17" s="10">
        <v>9.17</v>
      </c>
      <c r="I17" s="10">
        <v>0</v>
      </c>
      <c r="J17" s="10">
        <v>0</v>
      </c>
      <c r="K17" s="10">
        <v>-142.37399999999997</v>
      </c>
      <c r="L17" s="10">
        <f t="shared" si="2"/>
        <v>130.77600000000001</v>
      </c>
      <c r="M17" s="10">
        <v>0.79</v>
      </c>
      <c r="N17" s="10">
        <f t="shared" si="0"/>
        <v>-2.8200000000000003E-2</v>
      </c>
      <c r="O17" s="10">
        <v>2.8199999999999999E-2</v>
      </c>
    </row>
    <row r="18" spans="1:15" ht="15.75" x14ac:dyDescent="0.25">
      <c r="A18" s="6"/>
      <c r="B18" s="10">
        <v>900</v>
      </c>
      <c r="C18" s="10">
        <f t="shared" si="1"/>
        <v>1173.1500000000001</v>
      </c>
      <c r="D18" s="10">
        <v>0.71970000000000001</v>
      </c>
      <c r="E18" s="10">
        <v>70.36</v>
      </c>
      <c r="F18" s="10">
        <v>19.649999999999999</v>
      </c>
      <c r="G18" s="10">
        <v>0.90200000000000002</v>
      </c>
      <c r="H18" s="10">
        <v>9.06</v>
      </c>
      <c r="I18" s="10">
        <v>0</v>
      </c>
      <c r="J18" s="10">
        <v>0</v>
      </c>
      <c r="K18" s="10">
        <v>-168.10599999999988</v>
      </c>
      <c r="L18" s="10">
        <f t="shared" si="2"/>
        <v>105.0440000000001</v>
      </c>
      <c r="M18" s="10">
        <v>0.81</v>
      </c>
      <c r="N18" s="10">
        <f t="shared" si="0"/>
        <v>-9.0300000000000047E-2</v>
      </c>
      <c r="O18" s="10">
        <v>9.0300000000000005E-2</v>
      </c>
    </row>
    <row r="19" spans="1:15" ht="15.75" x14ac:dyDescent="0.25">
      <c r="A19" s="6"/>
      <c r="B19" s="10">
        <v>1000</v>
      </c>
      <c r="C19" s="10">
        <f t="shared" si="1"/>
        <v>1273.1500000000001</v>
      </c>
      <c r="D19" s="10">
        <v>0.66559999999999997</v>
      </c>
      <c r="E19" s="10">
        <v>70.290000000000006</v>
      </c>
      <c r="F19" s="10">
        <v>19.79</v>
      </c>
      <c r="G19" s="10">
        <v>0.96899999999999997</v>
      </c>
      <c r="H19" s="10">
        <v>8.93</v>
      </c>
      <c r="I19" s="10">
        <v>0</v>
      </c>
      <c r="J19" s="10">
        <v>0</v>
      </c>
      <c r="K19" s="10">
        <v>-204.60300000000001</v>
      </c>
      <c r="L19" s="10">
        <f t="shared" si="2"/>
        <v>68.546999999999969</v>
      </c>
      <c r="M19" s="10">
        <v>0.77</v>
      </c>
      <c r="N19" s="10">
        <f t="shared" si="0"/>
        <v>-0.10440000000000005</v>
      </c>
      <c r="O19" s="10">
        <v>0.10440000000000001</v>
      </c>
    </row>
    <row r="20" spans="1:15" ht="15.75" x14ac:dyDescent="0.25">
      <c r="A20" s="6"/>
      <c r="B20" s="10">
        <v>1100</v>
      </c>
      <c r="C20" s="10">
        <f>B20+273.15</f>
        <v>1373.15</v>
      </c>
      <c r="D20" s="10">
        <v>0.60429999999999995</v>
      </c>
      <c r="E20" s="10">
        <v>70.209999999999994</v>
      </c>
      <c r="F20" s="10">
        <v>19.940000000000001</v>
      </c>
      <c r="G20" s="10">
        <v>1.0509999999999999</v>
      </c>
      <c r="H20" s="10">
        <v>8.7799999999999994</v>
      </c>
      <c r="I20" s="10">
        <v>0</v>
      </c>
      <c r="J20" s="10">
        <v>0</v>
      </c>
      <c r="K20" s="10">
        <v>-248.34900000000005</v>
      </c>
      <c r="L20" s="10">
        <f>K20+273.15</f>
        <v>24.800999999999931</v>
      </c>
      <c r="M20" s="10">
        <v>0.71</v>
      </c>
      <c r="N20" s="10">
        <f>D20-M20</f>
        <v>-0.10570000000000002</v>
      </c>
      <c r="O20" s="10">
        <v>0.11</v>
      </c>
    </row>
    <row r="21" spans="1:15" s="2" customFormat="1" ht="15.75" x14ac:dyDescent="0.25">
      <c r="A21" s="6"/>
      <c r="B21" s="10">
        <v>1200</v>
      </c>
      <c r="C21" s="6">
        <f>B21+273.15</f>
        <v>1473.15</v>
      </c>
      <c r="D21" s="6">
        <v>0.53</v>
      </c>
      <c r="E21" s="6">
        <v>70.150000000000006</v>
      </c>
      <c r="F21" s="6">
        <v>20.079999999999998</v>
      </c>
      <c r="G21" s="6">
        <v>1.1499999999999999</v>
      </c>
      <c r="H21" s="6">
        <v>8.61</v>
      </c>
      <c r="I21" s="6">
        <v>0</v>
      </c>
      <c r="J21" s="6">
        <v>0</v>
      </c>
      <c r="K21" s="6">
        <v>-299.98399999999998</v>
      </c>
      <c r="L21" s="6">
        <f>K21+273.15</f>
        <v>-26.834000000000003</v>
      </c>
      <c r="M21" s="6">
        <v>0.64</v>
      </c>
      <c r="N21" s="6">
        <f>D21-M21</f>
        <v>-0.10999999999999999</v>
      </c>
      <c r="O21" s="10">
        <v>0.11</v>
      </c>
    </row>
    <row r="22" spans="1:15" ht="15.75" x14ac:dyDescent="0.25">
      <c r="A22" s="6" t="s">
        <v>6</v>
      </c>
      <c r="B22" s="10">
        <v>550</v>
      </c>
      <c r="C22" s="10">
        <f t="shared" si="1"/>
        <v>823.15</v>
      </c>
      <c r="D22" s="10">
        <v>0.3992</v>
      </c>
      <c r="E22" s="10">
        <v>63.8</v>
      </c>
      <c r="F22" s="10">
        <v>19.52</v>
      </c>
      <c r="G22" s="10">
        <v>0.42199999999999999</v>
      </c>
      <c r="H22" s="10">
        <v>5.36</v>
      </c>
      <c r="I22" s="10">
        <v>0</v>
      </c>
      <c r="J22" s="10">
        <v>6.37</v>
      </c>
      <c r="K22" s="10">
        <v>-345.66300000000001</v>
      </c>
      <c r="L22" s="10">
        <f t="shared" si="2"/>
        <v>-72.513000000000034</v>
      </c>
      <c r="M22" s="10">
        <v>0.56700000000000006</v>
      </c>
      <c r="N22" s="10">
        <f t="shared" si="0"/>
        <v>-0.16780000000000006</v>
      </c>
      <c r="O22" s="10">
        <v>0.1678</v>
      </c>
    </row>
    <row r="23" spans="1:15" ht="15.75" x14ac:dyDescent="0.25">
      <c r="A23" s="6"/>
      <c r="B23" s="10">
        <v>950</v>
      </c>
      <c r="C23" s="10">
        <f t="shared" si="1"/>
        <v>1223.1500000000001</v>
      </c>
      <c r="D23" s="10">
        <v>0.58599999999999997</v>
      </c>
      <c r="E23" s="10">
        <v>78.92</v>
      </c>
      <c r="F23" s="10">
        <v>11.574999999999999</v>
      </c>
      <c r="G23" s="10">
        <v>0.38500000000000001</v>
      </c>
      <c r="H23" s="10">
        <v>5.4</v>
      </c>
      <c r="I23" s="10">
        <v>0</v>
      </c>
      <c r="J23" s="10">
        <v>3.7109999999999999</v>
      </c>
      <c r="K23" s="10">
        <v>-41.419699999999949</v>
      </c>
      <c r="L23" s="10">
        <f t="shared" si="2"/>
        <v>231.73030000000003</v>
      </c>
      <c r="M23" s="10">
        <v>0.65200000000000002</v>
      </c>
      <c r="N23" s="10">
        <f t="shared" si="0"/>
        <v>-6.6000000000000059E-2</v>
      </c>
      <c r="O23" s="10">
        <v>6.60000000000001E-2</v>
      </c>
    </row>
    <row r="24" spans="1:15" ht="15.75" x14ac:dyDescent="0.25">
      <c r="A24" s="6"/>
      <c r="B24" s="10">
        <v>550</v>
      </c>
      <c r="C24" s="10">
        <f t="shared" si="1"/>
        <v>823.15</v>
      </c>
      <c r="D24" s="10">
        <v>0.52048000000000005</v>
      </c>
      <c r="E24" s="10">
        <v>65.86</v>
      </c>
      <c r="F24" s="10">
        <v>16.53</v>
      </c>
      <c r="G24" s="10">
        <v>0.32</v>
      </c>
      <c r="H24" s="10">
        <v>5.66</v>
      </c>
      <c r="I24" s="10">
        <v>0</v>
      </c>
      <c r="J24" s="10">
        <v>11.62</v>
      </c>
      <c r="K24" s="10">
        <v>-304.54599999999999</v>
      </c>
      <c r="L24" s="10">
        <f t="shared" si="2"/>
        <v>-31.396000000000015</v>
      </c>
      <c r="M24" s="10">
        <v>0.745</v>
      </c>
      <c r="N24" s="10">
        <f t="shared" si="0"/>
        <v>-0.22451999999999994</v>
      </c>
      <c r="O24" s="10">
        <v>0.22452</v>
      </c>
    </row>
    <row r="25" spans="1:15" ht="15.75" x14ac:dyDescent="0.25">
      <c r="A25" s="6"/>
      <c r="B25" s="10">
        <v>950</v>
      </c>
      <c r="C25" s="10">
        <f t="shared" si="1"/>
        <v>1223.1500000000001</v>
      </c>
      <c r="D25" s="10">
        <v>0.69900000000000007</v>
      </c>
      <c r="E25" s="10">
        <v>75.25</v>
      </c>
      <c r="F25" s="10">
        <v>11.21</v>
      </c>
      <c r="G25" s="10">
        <v>0.33900000000000002</v>
      </c>
      <c r="H25" s="10">
        <v>5.5</v>
      </c>
      <c r="I25" s="10">
        <v>0</v>
      </c>
      <c r="J25" s="10">
        <v>7.6769999999999996</v>
      </c>
      <c r="K25" s="10">
        <v>-81.063900000000018</v>
      </c>
      <c r="L25" s="10">
        <f t="shared" si="2"/>
        <v>192.08609999999996</v>
      </c>
      <c r="M25" s="10">
        <v>0.74199999999999999</v>
      </c>
      <c r="N25" s="10">
        <f t="shared" si="0"/>
        <v>-4.2999999999999927E-2</v>
      </c>
      <c r="O25" s="10">
        <v>4.2999999999999899E-2</v>
      </c>
    </row>
    <row r="26" spans="1:15" ht="15.75" x14ac:dyDescent="0.25">
      <c r="A26" s="9" t="s">
        <v>7</v>
      </c>
      <c r="B26" s="10">
        <v>500</v>
      </c>
      <c r="C26" s="10">
        <f t="shared" si="1"/>
        <v>773.15</v>
      </c>
      <c r="D26" s="10">
        <v>0.18160000000000001</v>
      </c>
      <c r="E26" s="10">
        <v>66</v>
      </c>
      <c r="F26" s="10">
        <v>19.68</v>
      </c>
      <c r="G26" s="10">
        <v>0.128</v>
      </c>
      <c r="H26" s="10">
        <v>3.03</v>
      </c>
      <c r="I26" s="10">
        <v>1.0649999999999999</v>
      </c>
      <c r="J26" s="10">
        <v>10.09</v>
      </c>
      <c r="K26" s="10">
        <v>-292.0089999999999</v>
      </c>
      <c r="L26" s="10">
        <f t="shared" si="2"/>
        <v>-18.858999999999924</v>
      </c>
      <c r="M26" s="10">
        <v>0.41</v>
      </c>
      <c r="N26" s="10">
        <f t="shared" si="0"/>
        <v>-0.22839999999999996</v>
      </c>
      <c r="O26" s="10">
        <v>0.22839999999999999</v>
      </c>
    </row>
    <row r="27" spans="1:15" ht="15.75" x14ac:dyDescent="0.25">
      <c r="A27" s="9" t="s">
        <v>8</v>
      </c>
      <c r="B27" s="11">
        <v>500</v>
      </c>
      <c r="C27" s="11">
        <f t="shared" si="1"/>
        <v>773.15</v>
      </c>
      <c r="D27" s="11">
        <v>0.16427</v>
      </c>
      <c r="E27" s="11">
        <v>74.099000000000004</v>
      </c>
      <c r="F27" s="11">
        <v>17.77</v>
      </c>
      <c r="G27" s="11">
        <v>0.13203999999999999</v>
      </c>
      <c r="H27" s="11">
        <v>0</v>
      </c>
      <c r="I27" s="11">
        <v>0</v>
      </c>
      <c r="J27" s="11">
        <v>7.99</v>
      </c>
      <c r="K27" s="11">
        <v>-198.48391999999996</v>
      </c>
      <c r="L27" s="11">
        <f t="shared" si="2"/>
        <v>74.666080000000022</v>
      </c>
      <c r="M27" s="11">
        <v>0.1</v>
      </c>
      <c r="N27" s="10">
        <f t="shared" si="0"/>
        <v>6.4269999999999994E-2</v>
      </c>
      <c r="O27" s="10">
        <v>6.4269999999999994E-2</v>
      </c>
    </row>
    <row r="28" spans="1:15" ht="15.75" x14ac:dyDescent="0.25">
      <c r="A28" s="6"/>
      <c r="B28" s="10">
        <v>600</v>
      </c>
      <c r="C28" s="10">
        <f t="shared" si="1"/>
        <v>873.15</v>
      </c>
      <c r="D28" s="10">
        <v>0.48180000000000001</v>
      </c>
      <c r="E28" s="10">
        <v>85.83</v>
      </c>
      <c r="F28" s="10">
        <v>10.3</v>
      </c>
      <c r="G28" s="10">
        <v>0.39400000000000002</v>
      </c>
      <c r="H28" s="10">
        <v>0</v>
      </c>
      <c r="I28" s="10">
        <v>0</v>
      </c>
      <c r="J28" s="10">
        <v>3.5</v>
      </c>
      <c r="K28" s="10">
        <v>-2.7320000000000348</v>
      </c>
      <c r="L28" s="10">
        <f t="shared" si="2"/>
        <v>270.41799999999995</v>
      </c>
      <c r="M28" s="10">
        <v>0.24</v>
      </c>
      <c r="N28" s="10">
        <f t="shared" si="0"/>
        <v>0.24180000000000001</v>
      </c>
      <c r="O28" s="10">
        <v>0.24180000000000001</v>
      </c>
    </row>
    <row r="29" spans="1:15" ht="15.75" x14ac:dyDescent="0.25">
      <c r="A29" s="6"/>
      <c r="B29" s="10">
        <v>400</v>
      </c>
      <c r="C29" s="10">
        <f t="shared" si="1"/>
        <v>673.15</v>
      </c>
      <c r="D29" s="10">
        <v>1.2880000000000001E-2</v>
      </c>
      <c r="E29" s="10">
        <v>64.53</v>
      </c>
      <c r="F29" s="10">
        <v>23.04</v>
      </c>
      <c r="G29" s="10">
        <v>1.4E-2</v>
      </c>
      <c r="H29" s="10">
        <v>0</v>
      </c>
      <c r="I29" s="10">
        <v>1.27</v>
      </c>
      <c r="J29" s="10">
        <v>11.12</v>
      </c>
      <c r="K29" s="10">
        <v>-364.16199999999992</v>
      </c>
      <c r="L29" s="10">
        <f t="shared" si="2"/>
        <v>-91.011999999999944</v>
      </c>
      <c r="M29" s="10">
        <v>0.19</v>
      </c>
      <c r="N29" s="10">
        <f t="shared" si="0"/>
        <v>-0.17712</v>
      </c>
      <c r="O29" s="10">
        <v>0.17712</v>
      </c>
    </row>
    <row r="30" spans="1:15" ht="15.75" x14ac:dyDescent="0.25">
      <c r="A30" s="6"/>
      <c r="B30" s="10">
        <v>500</v>
      </c>
      <c r="C30" s="10">
        <f t="shared" si="1"/>
        <v>773.15</v>
      </c>
      <c r="D30" s="10">
        <v>0.11425</v>
      </c>
      <c r="E30" s="10">
        <v>75.489999999999995</v>
      </c>
      <c r="F30" s="10">
        <v>16.63</v>
      </c>
      <c r="G30" s="10">
        <v>0.08</v>
      </c>
      <c r="H30" s="10">
        <v>0</v>
      </c>
      <c r="I30" s="10">
        <v>1.54</v>
      </c>
      <c r="J30" s="10">
        <v>6.23</v>
      </c>
      <c r="K30" s="10">
        <v>-110.663</v>
      </c>
      <c r="L30" s="10">
        <f t="shared" si="2"/>
        <v>162.48699999999997</v>
      </c>
      <c r="M30" s="10">
        <v>0.06</v>
      </c>
      <c r="N30" s="10">
        <f t="shared" si="0"/>
        <v>5.4250000000000007E-2</v>
      </c>
      <c r="O30" s="10">
        <v>5.4250000000000007E-2</v>
      </c>
    </row>
    <row r="31" spans="1:15" ht="15.75" x14ac:dyDescent="0.25">
      <c r="A31" s="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"/>
      <c r="N31" s="1"/>
    </row>
  </sheetData>
  <autoFilter ref="A1:O30" xr:uid="{B9F69B44-56A4-4091-AEAD-23375D48E2AF}"/>
  <hyperlinks>
    <hyperlink ref="A2" r:id="rId1" xr:uid="{37C116E4-6E42-493B-9767-4F23D00BCE54}"/>
    <hyperlink ref="A3" r:id="rId2" xr:uid="{E88BF1CF-7A43-411D-AD5D-3C28F9E1E5D0}"/>
    <hyperlink ref="A8" r:id="rId3" xr:uid="{EBF6BBDE-94CC-4A0A-8692-846C32651F91}"/>
    <hyperlink ref="A10" r:id="rId4" xr:uid="{168CF798-F54C-40CC-9755-A250E363D24C}"/>
    <hyperlink ref="A14" r:id="rId5" xr:uid="{800005E6-C109-4269-BCA9-3545CDD1147C}"/>
    <hyperlink ref="A17" r:id="rId6" xr:uid="{29229305-D6CB-4D29-BD25-F3B8D087BD71}"/>
    <hyperlink ref="A26" r:id="rId7" xr:uid="{6D297CE0-0B7D-44F9-832B-CE2F2E36E1EB}"/>
    <hyperlink ref="A27" r:id="rId8" xr:uid="{3327540F-B0FC-4128-A25E-34C1583083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its_me _kishan</dc:creator>
  <cp:lastModifiedBy>its_me _kishan</cp:lastModifiedBy>
  <dcterms:created xsi:type="dcterms:W3CDTF">2026-03-18T06:58:57Z</dcterms:created>
  <dcterms:modified xsi:type="dcterms:W3CDTF">2026-06-03T14:22:34Z</dcterms:modified>
</cp:coreProperties>
</file>